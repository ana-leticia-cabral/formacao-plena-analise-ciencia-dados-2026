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a Letícia\Downloads\"/>
    </mc:Choice>
  </mc:AlternateContent>
  <xr:revisionPtr revIDLastSave="0" documentId="13_ncr:1_{D885803B-71EC-490D-8376-AD2F1DEAD0A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1" l="1"/>
  <c r="O11" i="1"/>
  <c r="L15" i="1"/>
  <c r="N13" i="1" a="1"/>
  <c r="N13" i="1"/>
  <c r="N11" i="1" a="1"/>
  <c r="N11" i="1" s="1"/>
  <c r="M13" i="1" a="1"/>
  <c r="M13" i="1" s="1"/>
  <c r="M11" i="1" a="1"/>
  <c r="M11" i="1" s="1"/>
  <c r="L13" i="1"/>
  <c r="L11" i="1"/>
  <c r="N8" i="1" a="1"/>
  <c r="N8" i="1" s="1"/>
  <c r="N6" i="1" a="1"/>
  <c r="N6" i="1" s="1"/>
  <c r="N4" i="1" a="1"/>
  <c r="N4" i="1" s="1"/>
  <c r="N2" i="1" a="1"/>
  <c r="N2" i="1" s="1"/>
  <c r="M8" i="1" a="1"/>
  <c r="M8" i="1" s="1"/>
  <c r="M6" i="1" a="1"/>
  <c r="M6" i="1" s="1"/>
  <c r="M4" i="1" a="1"/>
  <c r="M4" i="1" s="1"/>
  <c r="M2" i="1" a="1"/>
  <c r="M2" i="1" s="1"/>
  <c r="L8" i="1"/>
  <c r="L6" i="1"/>
  <c r="L4" i="1"/>
  <c r="L2" i="1"/>
  <c r="I13" i="1" a="1"/>
  <c r="I13" i="1" s="1"/>
  <c r="I11" i="1" a="1"/>
  <c r="I11" i="1" s="1"/>
  <c r="H13" i="1" a="1"/>
  <c r="H13" i="1" s="1"/>
  <c r="H11" i="1" a="1"/>
  <c r="H11" i="1" s="1"/>
  <c r="G13" i="1"/>
  <c r="G11" i="1"/>
  <c r="I8" i="1" a="1"/>
  <c r="I8" i="1" s="1"/>
  <c r="I6" i="1" a="1"/>
  <c r="I6" i="1" s="1"/>
  <c r="I4" i="1" a="1"/>
  <c r="I4" i="1" s="1"/>
  <c r="I2" i="1" a="1"/>
  <c r="I2" i="1" s="1"/>
  <c r="H8" i="1" a="1"/>
  <c r="H8" i="1"/>
  <c r="H6" i="1" a="1"/>
  <c r="H6" i="1" s="1"/>
  <c r="H4" i="1" a="1"/>
  <c r="H4" i="1" s="1"/>
  <c r="H2" i="1" a="1"/>
  <c r="H2" i="1" s="1"/>
  <c r="G8" i="1"/>
  <c r="G6" i="1"/>
  <c r="G4" i="1"/>
  <c r="G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<sst xmlns="http://schemas.openxmlformats.org/spreadsheetml/2006/main" count="61" uniqueCount="16">
  <si>
    <t>Idade</t>
  </si>
  <si>
    <t>Gênero</t>
  </si>
  <si>
    <t>Produto</t>
  </si>
  <si>
    <t>Valor da Compra (R$)</t>
  </si>
  <si>
    <t>Masculino</t>
  </si>
  <si>
    <t>Eletrônicos</t>
  </si>
  <si>
    <t>Feminino</t>
  </si>
  <si>
    <t>Roupas</t>
  </si>
  <si>
    <t>Livros</t>
  </si>
  <si>
    <t>Cosméticos</t>
  </si>
  <si>
    <t>Média Idade</t>
  </si>
  <si>
    <t>Mediana Idade</t>
  </si>
  <si>
    <t>Desvio padrão</t>
  </si>
  <si>
    <t>Média Compra</t>
  </si>
  <si>
    <t>Mediana Compra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</si>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</sst>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6100"/>
      <name val="Arial"/>
      <family val="2"/>
      <scheme val="minor"/>
    </font>
    <font>
      <sz val="11"/>
      <color rgb="FF9C57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1" applyAlignment="1">
      <alignment horizontal="center"/>
    </xf>
    <xf numFmtId="0" fontId="4" fillId="3" borderId="0" xfId="2" applyAlignment="1">
      <alignment horizontal="center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D16" sqref="D16"/>
    </sheetView>
  </sheetViews>
  <sheetFormatPr defaultColWidth="12.5703125" defaultRowHeight="15.75" customHeight="1" x14ac:dyDescent="0.2"/>
  <cols>
    <col min="4" max="4" width="22.140625" customWidth="1"/>
    <col min="7" max="7" width="21.140625" bestFit="1" customWidth="1"/>
    <col min="8" max="8" width="16" customWidth="1"/>
    <col min="9" max="9" width="17.85546875" customWidth="1"/>
    <col min="12" max="12" width="15.28515625" customWidth="1"/>
    <col min="13" max="13" width="18.85546875" customWidth="1"/>
    <col min="14" max="14" width="18.42578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4" t="s">
        <v>10</v>
      </c>
      <c r="H1" s="4" t="s">
        <v>11</v>
      </c>
      <c r="I1" s="4" t="s">
        <v>12</v>
      </c>
      <c r="J1" s="2"/>
      <c r="K1" s="2"/>
      <c r="L1" s="4" t="s">
        <v>13</v>
      </c>
      <c r="M1" s="4" t="s">
        <v>14</v>
      </c>
      <c r="N1" s="4" t="s">
        <v>12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2">
        <v>34</v>
      </c>
      <c r="B2" s="2" t="s">
        <v>4</v>
      </c>
      <c r="C2" s="2" t="s">
        <v>5</v>
      </c>
      <c r="D2" s="2">
        <v>1500</v>
      </c>
      <c r="E2" s="2"/>
      <c r="F2" s="3" t="s">
        <v>5</v>
      </c>
      <c r="G2" s="2">
        <f>AVERAGEIF(C2:C17,"Eletrônicos",A2:A17)</f>
        <v>50.25</v>
      </c>
      <c r="H2" s="2" cm="1">
        <f t="array" ref="H2">MEDIAN(IF(C2:C17="Eletrônicos", A2:A17))</f>
        <v>52.5</v>
      </c>
      <c r="I2" s="2" cm="1">
        <f t="array" ref="I2">_xlfn.STDEV.P(IF(C2:C17="Eletrônicos",A2:A17))</f>
        <v>10.304731922762475</v>
      </c>
      <c r="J2" s="2"/>
      <c r="K2" s="3" t="s">
        <v>5</v>
      </c>
      <c r="L2" s="2">
        <f>AVERAGEIF(C2:C17,"Eletrônicos",D2:D17)</f>
        <v>1800</v>
      </c>
      <c r="M2" s="2" cm="1">
        <f t="array" ref="M2">MEDIAN(IF(C2:C17="Eletrônicos", D2:D17))</f>
        <v>1850</v>
      </c>
      <c r="N2" s="2" cm="1">
        <f t="array" ref="N2">_xlfn.STDEV.P(IF(C2:C17="Eletrônicos",D2:D17))</f>
        <v>187.08286933869707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2">
        <v>22</v>
      </c>
      <c r="B3" s="2" t="s">
        <v>6</v>
      </c>
      <c r="C3" s="2" t="s">
        <v>7</v>
      </c>
      <c r="D3" s="2">
        <v>300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2">
        <v>45</v>
      </c>
      <c r="B4" s="2" t="s">
        <v>4</v>
      </c>
      <c r="C4" s="2" t="s">
        <v>8</v>
      </c>
      <c r="D4" s="2">
        <v>100</v>
      </c>
      <c r="E4" s="2"/>
      <c r="F4" s="3" t="s">
        <v>7</v>
      </c>
      <c r="G4" s="2">
        <f>AVERAGEIF(C2:C17,"Roupas",A2:A17)</f>
        <v>26.5</v>
      </c>
      <c r="H4" s="2" cm="1">
        <f t="array" ref="H4">MEDIAN(IF(C2:C17="Roupas", A2:A17))</f>
        <v>26.5</v>
      </c>
      <c r="I4" s="2" cm="1">
        <f t="array" ref="I4">_xlfn.STDEV.P(IF(C2:C17="Roupas",A2:A17))</f>
        <v>3.3541019662496847</v>
      </c>
      <c r="J4" s="2"/>
      <c r="K4" s="3" t="s">
        <v>7</v>
      </c>
      <c r="L4" s="2">
        <f>AVERAGEIF(C2:C17,"Roupas",D2:D17)</f>
        <v>287.5</v>
      </c>
      <c r="M4" s="2" cm="1">
        <f t="array" ref="M4">MEDIAN(IF(C2:C17="Roupas", D2:D17))</f>
        <v>290</v>
      </c>
      <c r="N4" s="2" cm="1">
        <f t="array" ref="N4">_xlfn.STDEV.P(IF(C2:C17="Roupas",D2:D17))</f>
        <v>25.8602010819715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>
        <v>29</v>
      </c>
      <c r="B5" s="2" t="s">
        <v>6</v>
      </c>
      <c r="C5" s="2" t="s">
        <v>9</v>
      </c>
      <c r="D5" s="2">
        <v>50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>
        <v>50</v>
      </c>
      <c r="B6" s="2" t="s">
        <v>4</v>
      </c>
      <c r="C6" s="2" t="s">
        <v>5</v>
      </c>
      <c r="D6" s="2">
        <v>2000</v>
      </c>
      <c r="E6" s="2"/>
      <c r="F6" s="3" t="s">
        <v>8</v>
      </c>
      <c r="G6" s="2">
        <f>AVERAGEIF(C2:C17,"Livros",A2:A17)</f>
        <v>40.25</v>
      </c>
      <c r="H6" s="2" cm="1">
        <f t="array" ref="H6">MEDIAN(IF(C2:C17="Livros", A2:A17))</f>
        <v>43</v>
      </c>
      <c r="I6" s="2" cm="1">
        <f t="array" ref="I6">_xlfn.STDEV.P(IF(C2:C17="Livros",A2:A17))</f>
        <v>8.0428539710727058</v>
      </c>
      <c r="J6" s="2"/>
      <c r="K6" s="3" t="s">
        <v>8</v>
      </c>
      <c r="L6" s="2">
        <f>AVERAGEIF(C2:C17,"Livros",D2:D17)</f>
        <v>115</v>
      </c>
      <c r="M6" s="2" cm="1">
        <f t="array" ref="M6">MEDIAN(IF(C2:C17="Livros", D2:D17))</f>
        <v>115</v>
      </c>
      <c r="N6" s="2" cm="1">
        <f t="array" ref="N6">_xlfn.STDEV.P(IF(C2:C17="Livros",D2:D17))</f>
        <v>11.180339887498949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>
        <v>31</v>
      </c>
      <c r="B7" s="2" t="s">
        <v>6</v>
      </c>
      <c r="C7" s="2" t="s">
        <v>7</v>
      </c>
      <c r="D7" s="2">
        <v>250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>
        <v>27</v>
      </c>
      <c r="B8" s="2" t="s">
        <v>4</v>
      </c>
      <c r="C8" s="2" t="s">
        <v>8</v>
      </c>
      <c r="D8" s="2">
        <v>120</v>
      </c>
      <c r="E8" s="2"/>
      <c r="F8" s="3" t="s">
        <v>9</v>
      </c>
      <c r="G8" s="2">
        <f>AVERAGEIF(C2:C17,"Cosméticos",A2:A17)</f>
        <v>34</v>
      </c>
      <c r="H8" s="2" cm="1">
        <f t="array" ref="H8">MEDIAN(IF(C2:C17="Cosméticos", A2:A17))</f>
        <v>34.5</v>
      </c>
      <c r="I8" s="2" cm="1">
        <f t="array" ref="I8">_xlfn.STDEV.P(IF(C2:C17="Cosméticos",A2:A17))</f>
        <v>3.3911649915626341</v>
      </c>
      <c r="J8" s="2"/>
      <c r="K8" s="3" t="s">
        <v>9</v>
      </c>
      <c r="L8" s="2">
        <f>AVERAGEIF(C2:C17,"Cosméticos",D2:D17)</f>
        <v>58.75</v>
      </c>
      <c r="M8" s="2" cm="1">
        <f t="array" ref="M8">MEDIAN(IF(C2:C17="Cosméticos", D2:D17))</f>
        <v>57.5</v>
      </c>
      <c r="N8" s="2" cm="1">
        <f t="array" ref="N8">_xlfn.STDEV.P(IF(C2:C17="Cosméticos",D2:D17))</f>
        <v>7.3950997288745199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>
        <v>38</v>
      </c>
      <c r="B9" s="2" t="s">
        <v>6</v>
      </c>
      <c r="C9" s="2" t="s">
        <v>9</v>
      </c>
      <c r="D9" s="2">
        <v>60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>
        <v>62</v>
      </c>
      <c r="B10" s="2" t="s">
        <v>4</v>
      </c>
      <c r="C10" s="2" t="s">
        <v>5</v>
      </c>
      <c r="D10" s="2">
        <v>1800</v>
      </c>
      <c r="E10" s="2"/>
      <c r="F10" s="2"/>
      <c r="G10" s="4" t="s">
        <v>10</v>
      </c>
      <c r="H10" s="4" t="s">
        <v>11</v>
      </c>
      <c r="I10" s="4" t="s">
        <v>12</v>
      </c>
      <c r="J10" s="2"/>
      <c r="K10" s="2"/>
      <c r="L10" s="4" t="s">
        <v>13</v>
      </c>
      <c r="M10" s="4" t="s">
        <v>14</v>
      </c>
      <c r="N10" s="4" t="s">
        <v>12</v>
      </c>
      <c r="O10" s="4" t="s">
        <v>15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>
        <v>25</v>
      </c>
      <c r="B11" s="2" t="s">
        <v>6</v>
      </c>
      <c r="C11" s="2" t="s">
        <v>7</v>
      </c>
      <c r="D11" s="2">
        <v>320</v>
      </c>
      <c r="E11" s="2"/>
      <c r="F11" s="3" t="s">
        <v>4</v>
      </c>
      <c r="G11" s="2">
        <f>AVERAGEIF(B2:B17,"Masculino",A2:A17)</f>
        <v>45.25</v>
      </c>
      <c r="H11" s="2" cm="1">
        <f t="array" ref="H11">MEDIAN(IF(B2:B17="Masculino", A2:A17))</f>
        <v>46.5</v>
      </c>
      <c r="I11" s="2" cm="1">
        <f t="array" ref="I11">_xlfn.STDEV.P(IF(B2:B17="Masculino",A2:A17))</f>
        <v>10.508924778491851</v>
      </c>
      <c r="J11" s="2"/>
      <c r="K11" s="3" t="s">
        <v>4</v>
      </c>
      <c r="L11" s="2">
        <f>AVERAGEIF(B2:B17,"Masculino",D2:D17)</f>
        <v>957.5</v>
      </c>
      <c r="M11" s="2" cm="1">
        <f t="array" ref="M11">MEDIAN(IF(B2:B17="Masculino", D2:D17))</f>
        <v>815</v>
      </c>
      <c r="N11" s="2" cm="1">
        <f t="array" ref="N11">_xlfn.STDEV.P(IF(B2:B17="Masculino",D2:D17))</f>
        <v>852.85916187844282</v>
      </c>
      <c r="O11" s="2">
        <f>(N11/L11) * 100</f>
        <v>89.071452937696378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>
        <v>41</v>
      </c>
      <c r="B12" s="2" t="s">
        <v>4</v>
      </c>
      <c r="C12" s="2" t="s">
        <v>8</v>
      </c>
      <c r="D12" s="2">
        <v>110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>
        <v>33</v>
      </c>
      <c r="B13" s="2" t="s">
        <v>6</v>
      </c>
      <c r="C13" s="2" t="s">
        <v>9</v>
      </c>
      <c r="D13" s="2">
        <v>55</v>
      </c>
      <c r="E13" s="2"/>
      <c r="F13" s="3" t="s">
        <v>6</v>
      </c>
      <c r="G13" s="2">
        <f>AVERAGEIF(B2:B17,"Feminino",A2:A17)</f>
        <v>30.25</v>
      </c>
      <c r="H13" s="2" cm="1">
        <f t="array" ref="H13">MEDIAN(IF(B2:B17="Feminino", A2:A17))</f>
        <v>30</v>
      </c>
      <c r="I13" s="2" cm="1">
        <f t="array" ref="I13">_xlfn.STDEV.P(IF(B2:B17="Feminino",A2:A17))</f>
        <v>5.0435602504580039</v>
      </c>
      <c r="J13" s="2"/>
      <c r="K13" s="3" t="s">
        <v>6</v>
      </c>
      <c r="L13" s="2">
        <f>AVERAGEIF(B2:B17,"Feminino",D2:D17)</f>
        <v>173.125</v>
      </c>
      <c r="M13" s="2" cm="1">
        <f t="array" ref="M13">MEDIAN(IF(B2:B17="Feminino", D2:D17))</f>
        <v>160</v>
      </c>
      <c r="N13" s="2" cm="1">
        <f t="array" ref="N13">_xlfn.STDEV.P(IF(B2:B17="Feminino",D2:D17))</f>
        <v>115.94550174543211</v>
      </c>
      <c r="O13" s="2">
        <f>(N13/L13)*100</f>
        <v>66.972130972090753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>
        <v>55</v>
      </c>
      <c r="B14" s="2" t="s">
        <v>4</v>
      </c>
      <c r="C14" s="2" t="s">
        <v>5</v>
      </c>
      <c r="D14" s="2">
        <v>1900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>
        <v>28</v>
      </c>
      <c r="B15" s="2" t="s">
        <v>6</v>
      </c>
      <c r="C15" s="2" t="s">
        <v>7</v>
      </c>
      <c r="D15" s="2">
        <v>280</v>
      </c>
      <c r="E15" s="2"/>
      <c r="G15" s="2"/>
      <c r="H15" s="2"/>
      <c r="I15" s="2"/>
      <c r="J15" s="2"/>
      <c r="K15" s="2"/>
      <c r="L15" s="2">
        <f>L11-L13</f>
        <v>784.375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>
        <v>48</v>
      </c>
      <c r="B16" s="2" t="s">
        <v>4</v>
      </c>
      <c r="C16" s="2" t="s">
        <v>8</v>
      </c>
      <c r="D16" s="2">
        <v>130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>
        <v>36</v>
      </c>
      <c r="B17" s="2" t="s">
        <v>6</v>
      </c>
      <c r="C17" s="2" t="s">
        <v>9</v>
      </c>
      <c r="D17" s="2">
        <v>70</v>
      </c>
      <c r="E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Letícia Cabral do Rosário</cp:lastModifiedBy>
  <dcterms:modified xsi:type="dcterms:W3CDTF">2026-09-15T21:39:50Z</dcterms:modified>
</cp:coreProperties>
</file>